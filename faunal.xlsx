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b185a9fb685942/aa.grad/Publication/Marginal Returns Analysis and Hunting Investment in the Four Corners/Tewa-Ethnogenesis-Hunting-Investment-and-Marginal-Returns-Analysis/"/>
    </mc:Choice>
  </mc:AlternateContent>
  <xr:revisionPtr revIDLastSave="38" documentId="8_{B4BB7734-0CC9-41F5-BD31-ABC97F2E0E88}" xr6:coauthVersionLast="47" xr6:coauthVersionMax="47" xr10:uidLastSave="{98DE1132-627B-48E5-925C-4B246E2BE0EA}"/>
  <bookViews>
    <workbookView xWindow="28680" yWindow="-120" windowWidth="29040" windowHeight="15720" xr2:uid="{00000000-000D-0000-FFFF-FFFF00000000}"/>
  </bookViews>
  <sheets>
    <sheet name="Faunal Data and Site Used for 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7" i="1" l="1"/>
  <c r="I53" i="1"/>
  <c r="I50" i="1"/>
  <c r="I49" i="1"/>
  <c r="I80" i="1"/>
  <c r="I47" i="1"/>
</calcChain>
</file>

<file path=xl/sharedStrings.xml><?xml version="1.0" encoding="utf-8"?>
<sst xmlns="http://schemas.openxmlformats.org/spreadsheetml/2006/main" count="526" uniqueCount="183">
  <si>
    <t xml:space="preserve">Site name </t>
  </si>
  <si>
    <t xml:space="preserve">Date </t>
  </si>
  <si>
    <t xml:space="preserve">Pecos </t>
  </si>
  <si>
    <t xml:space="preserve">District </t>
  </si>
  <si>
    <t xml:space="preserve">Site-Type </t>
  </si>
  <si>
    <t xml:space="preserve">Size </t>
  </si>
  <si>
    <t xml:space="preserve">Lagomorphs </t>
  </si>
  <si>
    <t xml:space="preserve">Artiodactyls </t>
  </si>
  <si>
    <t>42SA6815</t>
  </si>
  <si>
    <t xml:space="preserve">1041- </t>
  </si>
  <si>
    <t xml:space="preserve">PIII </t>
  </si>
  <si>
    <t xml:space="preserve">CL </t>
  </si>
  <si>
    <t xml:space="preserve">LH </t>
  </si>
  <si>
    <t xml:space="preserve">LG </t>
  </si>
  <si>
    <t>Bernheimer Alcove</t>
  </si>
  <si>
    <t xml:space="preserve">1250-1300 </t>
  </si>
  <si>
    <t xml:space="preserve">PII </t>
  </si>
  <si>
    <t xml:space="preserve">CM </t>
  </si>
  <si>
    <t xml:space="preserve">SH </t>
  </si>
  <si>
    <t xml:space="preserve">SM </t>
  </si>
  <si>
    <t>Bluff House</t>
  </si>
  <si>
    <t>Buried Olla</t>
  </si>
  <si>
    <t xml:space="preserve">1000-1200 </t>
  </si>
  <si>
    <t>PII</t>
  </si>
  <si>
    <t>Coombs Site</t>
  </si>
  <si>
    <t xml:space="preserve">1125-1175 </t>
  </si>
  <si>
    <t xml:space="preserve">PII-PIII </t>
  </si>
  <si>
    <t>Copter Ledge</t>
  </si>
  <si>
    <t xml:space="preserve">1200-1300 </t>
  </si>
  <si>
    <t>Coyote Ridge</t>
  </si>
  <si>
    <t xml:space="preserve"> </t>
  </si>
  <si>
    <t>Crumbling Kiva</t>
  </si>
  <si>
    <t xml:space="preserve">1200-1250 </t>
  </si>
  <si>
    <t>Dave's Site</t>
  </si>
  <si>
    <t xml:space="preserve">1050-1100 </t>
  </si>
  <si>
    <t>Defiance House</t>
  </si>
  <si>
    <t>Doll Ruin</t>
  </si>
  <si>
    <t xml:space="preserve">1225-1275 </t>
  </si>
  <si>
    <t>Face Canyon</t>
  </si>
  <si>
    <t xml:space="preserve">1150-1225 </t>
  </si>
  <si>
    <t>Fence Ruin</t>
  </si>
  <si>
    <t>Gourd House</t>
  </si>
  <si>
    <t xml:space="preserve">1050-1300 </t>
  </si>
  <si>
    <t>Hermitage Site</t>
  </si>
  <si>
    <t xml:space="preserve">1050-1150 </t>
  </si>
  <si>
    <t>Hiboy House</t>
  </si>
  <si>
    <t>Horsefly Hollow</t>
  </si>
  <si>
    <t xml:space="preserve">1150-1300 </t>
  </si>
  <si>
    <t>Lizard Alcove</t>
  </si>
  <si>
    <t xml:space="preserve">1130-1300 </t>
  </si>
  <si>
    <t>Loper Ruin</t>
  </si>
  <si>
    <t xml:space="preserve">1150-1250 </t>
  </si>
  <si>
    <t>Lyman Flat</t>
  </si>
  <si>
    <t>Mat House</t>
  </si>
  <si>
    <t xml:space="preserve">1225-1300 </t>
  </si>
  <si>
    <t>Mistake Alcove</t>
  </si>
  <si>
    <t>Mosquito Cave</t>
  </si>
  <si>
    <t xml:space="preserve">1125-1250 </t>
  </si>
  <si>
    <t>Musted's Well</t>
  </si>
  <si>
    <t>Rogers House</t>
  </si>
  <si>
    <t>Scorup Pasture</t>
  </si>
  <si>
    <t>Steer Pasture</t>
  </si>
  <si>
    <t>Stevens Terrace</t>
  </si>
  <si>
    <t xml:space="preserve">1100-1300 </t>
  </si>
  <si>
    <t>Talus Ruin</t>
  </si>
  <si>
    <t>The Fortress</t>
  </si>
  <si>
    <t>The Watchtower</t>
  </si>
  <si>
    <t xml:space="preserve">1100-1250 </t>
  </si>
  <si>
    <t>Toad Shelter</t>
  </si>
  <si>
    <t>Upper Desha Pueblo</t>
  </si>
  <si>
    <t xml:space="preserve">1150-1200 </t>
  </si>
  <si>
    <t>Widow's Ledge</t>
  </si>
  <si>
    <t>Wildhorse Alcove</t>
  </si>
  <si>
    <t xml:space="preserve">ES </t>
  </si>
  <si>
    <t xml:space="preserve">VL </t>
  </si>
  <si>
    <t>MV866</t>
  </si>
  <si>
    <t xml:space="preserve">MV </t>
  </si>
  <si>
    <t>Big Juniper House</t>
  </si>
  <si>
    <t>Mug House</t>
  </si>
  <si>
    <t>MV875</t>
  </si>
  <si>
    <t>PII-III</t>
  </si>
  <si>
    <t>MV499</t>
  </si>
  <si>
    <t xml:space="preserve">1100-1150 </t>
  </si>
  <si>
    <t>Badger House</t>
  </si>
  <si>
    <t>5MT10010</t>
  </si>
  <si>
    <t xml:space="preserve">1075-1175 </t>
  </si>
  <si>
    <t xml:space="preserve">UT </t>
  </si>
  <si>
    <t xml:space="preserve">EPIII </t>
  </si>
  <si>
    <t xml:space="preserve">MEY </t>
  </si>
  <si>
    <t>5MT9541</t>
  </si>
  <si>
    <t xml:space="preserve">1175-1280 </t>
  </si>
  <si>
    <t xml:space="preserve">900-1225 </t>
  </si>
  <si>
    <t xml:space="preserve">PII-EPIII </t>
  </si>
  <si>
    <t xml:space="preserve">LPIII </t>
  </si>
  <si>
    <t xml:space="preserve">1050-1225 </t>
  </si>
  <si>
    <t xml:space="preserve">LPII-EPIII </t>
  </si>
  <si>
    <t>5MT2564</t>
  </si>
  <si>
    <t>5MT9933</t>
  </si>
  <si>
    <t xml:space="preserve">1025-1100 </t>
  </si>
  <si>
    <t xml:space="preserve">1150-1275 </t>
  </si>
  <si>
    <t xml:space="preserve">1130-1150 </t>
  </si>
  <si>
    <t>5MT10188</t>
  </si>
  <si>
    <t xml:space="preserve">1050-1125 </t>
  </si>
  <si>
    <t>5MT7723</t>
  </si>
  <si>
    <t>5MT7704</t>
  </si>
  <si>
    <t xml:space="preserve">1130-1200 </t>
  </si>
  <si>
    <t>Dripping Spring Stockade</t>
  </si>
  <si>
    <t xml:space="preserve">1043-1075 </t>
  </si>
  <si>
    <t>5MT8943</t>
  </si>
  <si>
    <t>Knobby Knee Stockade</t>
  </si>
  <si>
    <t xml:space="preserve">1193-1220 </t>
  </si>
  <si>
    <t xml:space="preserve">1230-1270 </t>
  </si>
  <si>
    <t>Pojoaque Grant</t>
  </si>
  <si>
    <t>Tesuque Valley</t>
  </si>
  <si>
    <t>NA</t>
  </si>
  <si>
    <t>Pindi</t>
  </si>
  <si>
    <t>Nambe</t>
  </si>
  <si>
    <t>LA 103919</t>
  </si>
  <si>
    <t>LA 4618</t>
  </si>
  <si>
    <t>PP</t>
  </si>
  <si>
    <t>Mesita del Buey</t>
  </si>
  <si>
    <t>White Rock Tract (A-19)</t>
  </si>
  <si>
    <t>Airport-South Tract (A-3)</t>
  </si>
  <si>
    <t>Airport-Central Tract (A-7)</t>
  </si>
  <si>
    <t>CP</t>
  </si>
  <si>
    <t>LA 60372</t>
  </si>
  <si>
    <t>Turkey</t>
  </si>
  <si>
    <t>LA 6170</t>
  </si>
  <si>
    <t>ED</t>
  </si>
  <si>
    <t>LA 265</t>
  </si>
  <si>
    <t>TB</t>
  </si>
  <si>
    <t>LA 3852</t>
  </si>
  <si>
    <t>LA 4624</t>
  </si>
  <si>
    <t>LD</t>
  </si>
  <si>
    <t>Mad Dog</t>
  </si>
  <si>
    <t>5MT181</t>
  </si>
  <si>
    <t>LPIII</t>
  </si>
  <si>
    <t>MY</t>
  </si>
  <si>
    <t>Herren House</t>
  </si>
  <si>
    <t>5MT2519</t>
  </si>
  <si>
    <t>BMIII-PIII</t>
  </si>
  <si>
    <t>Roundtree Pueblo PII</t>
  </si>
  <si>
    <t>Roundtree Pueblo PIII</t>
  </si>
  <si>
    <t>ED-LD</t>
  </si>
  <si>
    <t>900-1175</t>
  </si>
  <si>
    <t>MCP</t>
  </si>
  <si>
    <t>LCP</t>
  </si>
  <si>
    <t>ECP</t>
  </si>
  <si>
    <t>LD-ECP</t>
  </si>
  <si>
    <t>LA 1 1150-1350</t>
  </si>
  <si>
    <t>LD-CP</t>
  </si>
  <si>
    <t>LA 4997 1175-1250</t>
  </si>
  <si>
    <t>Shields Pueblo-5MT3807</t>
  </si>
  <si>
    <t>Albert Porter Pueblo-5MT123</t>
  </si>
  <si>
    <t>Sand Canyon Pueblo-5MT765</t>
  </si>
  <si>
    <t>Burnt Mesa Area 1-LA 60372</t>
  </si>
  <si>
    <t>Yellow Jacket Pueblo-5MT5</t>
  </si>
  <si>
    <t>Castle Rock-5MT1825</t>
  </si>
  <si>
    <t>Woods Canyon Pueblo-5MT11842</t>
  </si>
  <si>
    <t>Burnt Mesa Area 2-LA 60372</t>
  </si>
  <si>
    <t>Kenzie Dawn Hamlet-5MT5152</t>
  </si>
  <si>
    <t>LA 12587-White Rock Tract (A-19)</t>
  </si>
  <si>
    <t>Pena Blanca-LA 265</t>
  </si>
  <si>
    <t>Catherine's Site-5MT3967</t>
  </si>
  <si>
    <t>Roy's Ruin-5MT3930</t>
  </si>
  <si>
    <t>Shorlene's Site-5MT3918</t>
  </si>
  <si>
    <t>LA 135290-Airport-Central Tract (A-7)</t>
  </si>
  <si>
    <t>LA 86534-Airport-South Tract (A-3)</t>
  </si>
  <si>
    <t>Stanton's Site-5MT10508</t>
  </si>
  <si>
    <t>G &amp; G Hamlet-5MT11338</t>
  </si>
  <si>
    <t>Lookout House-5MT10459</t>
  </si>
  <si>
    <t>Lillian's Site-5MT3936</t>
  </si>
  <si>
    <t>5MT10207 (Towaoc Canal)</t>
  </si>
  <si>
    <t>5MT10206 (Towaoc Canal)</t>
  </si>
  <si>
    <t>1125-1175</t>
  </si>
  <si>
    <t>Tesuque Bypass-LA 3294</t>
  </si>
  <si>
    <t>Lester's Site-5MT10246</t>
  </si>
  <si>
    <t>KP Site-LA 46300</t>
  </si>
  <si>
    <t>LA 46300</t>
  </si>
  <si>
    <t>Casa del Rito-LA 3852</t>
  </si>
  <si>
    <t>Saddlehorn Hamlet-5MT262</t>
  </si>
  <si>
    <t>Troy's Tower-5MT3951</t>
  </si>
  <si>
    <t>Saltbush-LA 4997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</si>
</sst>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"/>
  <sheetViews>
    <sheetView tabSelected="1" workbookViewId="0">
      <pane ySplit="1" topLeftCell="A71" activePane="bottomLeft" state="frozen"/>
      <selection pane="bottomLeft" activeCell="F96" sqref="F96"/>
    </sheetView>
  </sheetViews>
  <sheetFormatPr defaultRowHeight="15" x14ac:dyDescent="0.25"/>
  <cols>
    <col min="1" max="1" width="40.28515625" customWidth="1"/>
    <col min="2" max="2" width="25.28515625" customWidth="1"/>
    <col min="7" max="7" width="10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126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>
        <v>0</v>
      </c>
    </row>
    <row r="3" spans="1:9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2</v>
      </c>
      <c r="H3">
        <v>8</v>
      </c>
    </row>
    <row r="4" spans="1:9" x14ac:dyDescent="0.25">
      <c r="A4" t="s">
        <v>20</v>
      </c>
      <c r="C4" t="s">
        <v>10</v>
      </c>
      <c r="D4" t="s">
        <v>17</v>
      </c>
      <c r="E4" t="s">
        <v>18</v>
      </c>
      <c r="F4" t="s">
        <v>19</v>
      </c>
      <c r="G4">
        <v>521</v>
      </c>
      <c r="H4">
        <v>422</v>
      </c>
    </row>
    <row r="5" spans="1:9" x14ac:dyDescent="0.25">
      <c r="A5" t="s">
        <v>21</v>
      </c>
      <c r="B5" t="s">
        <v>22</v>
      </c>
      <c r="C5" t="s">
        <v>23</v>
      </c>
      <c r="D5" t="s">
        <v>17</v>
      </c>
      <c r="E5" t="s">
        <v>12</v>
      </c>
      <c r="F5" t="s">
        <v>13</v>
      </c>
      <c r="G5">
        <v>0</v>
      </c>
      <c r="H5">
        <v>7</v>
      </c>
    </row>
    <row r="6" spans="1:9" x14ac:dyDescent="0.25">
      <c r="A6" t="s">
        <v>24</v>
      </c>
      <c r="B6" t="s">
        <v>25</v>
      </c>
      <c r="C6" t="s">
        <v>26</v>
      </c>
      <c r="D6" t="s">
        <v>73</v>
      </c>
      <c r="E6" t="s">
        <v>18</v>
      </c>
      <c r="F6" t="s">
        <v>19</v>
      </c>
      <c r="G6">
        <v>61</v>
      </c>
      <c r="H6">
        <v>1251</v>
      </c>
    </row>
    <row r="7" spans="1:9" x14ac:dyDescent="0.25">
      <c r="A7" t="s">
        <v>27</v>
      </c>
      <c r="B7" t="s">
        <v>28</v>
      </c>
      <c r="C7" t="s">
        <v>10</v>
      </c>
      <c r="D7" t="s">
        <v>17</v>
      </c>
      <c r="E7" t="s">
        <v>18</v>
      </c>
      <c r="F7" t="s">
        <v>19</v>
      </c>
      <c r="G7">
        <v>1</v>
      </c>
      <c r="H7">
        <v>19</v>
      </c>
    </row>
    <row r="8" spans="1:9" x14ac:dyDescent="0.25">
      <c r="A8" t="s">
        <v>29</v>
      </c>
      <c r="B8" t="s">
        <v>30</v>
      </c>
      <c r="C8" t="s">
        <v>10</v>
      </c>
      <c r="D8" t="s">
        <v>17</v>
      </c>
      <c r="E8" t="s">
        <v>18</v>
      </c>
      <c r="F8" t="s">
        <v>19</v>
      </c>
      <c r="G8">
        <v>1</v>
      </c>
      <c r="H8">
        <v>1</v>
      </c>
    </row>
    <row r="9" spans="1:9" x14ac:dyDescent="0.25">
      <c r="A9" t="s">
        <v>31</v>
      </c>
      <c r="B9" t="s">
        <v>32</v>
      </c>
      <c r="C9" t="s">
        <v>10</v>
      </c>
      <c r="D9" t="s">
        <v>17</v>
      </c>
      <c r="E9" t="s">
        <v>18</v>
      </c>
      <c r="F9" t="s">
        <v>19</v>
      </c>
      <c r="G9">
        <v>0</v>
      </c>
      <c r="H9">
        <v>22</v>
      </c>
    </row>
    <row r="10" spans="1:9" x14ac:dyDescent="0.25">
      <c r="A10" t="s">
        <v>33</v>
      </c>
      <c r="B10" t="s">
        <v>34</v>
      </c>
      <c r="C10" t="s">
        <v>16</v>
      </c>
      <c r="D10" t="s">
        <v>17</v>
      </c>
      <c r="E10" t="s">
        <v>18</v>
      </c>
      <c r="F10" t="s">
        <v>19</v>
      </c>
      <c r="G10">
        <v>7</v>
      </c>
      <c r="H10">
        <v>0</v>
      </c>
    </row>
    <row r="11" spans="1:9" x14ac:dyDescent="0.25">
      <c r="A11" t="s">
        <v>35</v>
      </c>
      <c r="B11" t="s">
        <v>15</v>
      </c>
      <c r="C11" t="s">
        <v>10</v>
      </c>
      <c r="D11" t="s">
        <v>17</v>
      </c>
      <c r="E11" t="s">
        <v>18</v>
      </c>
      <c r="F11" t="s">
        <v>19</v>
      </c>
      <c r="G11">
        <v>3</v>
      </c>
      <c r="H11">
        <v>53</v>
      </c>
    </row>
    <row r="12" spans="1:9" x14ac:dyDescent="0.25">
      <c r="A12" t="s">
        <v>36</v>
      </c>
      <c r="B12" t="s">
        <v>37</v>
      </c>
      <c r="C12" t="s">
        <v>10</v>
      </c>
      <c r="D12" t="s">
        <v>17</v>
      </c>
      <c r="E12" t="s">
        <v>18</v>
      </c>
      <c r="F12" t="s">
        <v>19</v>
      </c>
      <c r="G12">
        <v>1</v>
      </c>
      <c r="H12">
        <v>20</v>
      </c>
    </row>
    <row r="13" spans="1:9" x14ac:dyDescent="0.25">
      <c r="A13" t="s">
        <v>38</v>
      </c>
      <c r="B13" t="s">
        <v>39</v>
      </c>
      <c r="C13" t="s">
        <v>10</v>
      </c>
      <c r="D13" t="s">
        <v>17</v>
      </c>
      <c r="E13" t="s">
        <v>18</v>
      </c>
      <c r="F13" t="s">
        <v>19</v>
      </c>
      <c r="G13">
        <v>6</v>
      </c>
      <c r="H13">
        <v>8</v>
      </c>
    </row>
    <row r="14" spans="1:9" x14ac:dyDescent="0.25">
      <c r="A14" t="s">
        <v>40</v>
      </c>
      <c r="B14" t="s">
        <v>15</v>
      </c>
      <c r="C14" t="s">
        <v>10</v>
      </c>
      <c r="D14" t="s">
        <v>17</v>
      </c>
      <c r="E14" t="s">
        <v>18</v>
      </c>
      <c r="F14" t="s">
        <v>19</v>
      </c>
      <c r="G14">
        <v>6</v>
      </c>
      <c r="H14">
        <v>21</v>
      </c>
    </row>
    <row r="15" spans="1:9" x14ac:dyDescent="0.25">
      <c r="A15" t="s">
        <v>41</v>
      </c>
      <c r="B15" t="s">
        <v>42</v>
      </c>
      <c r="C15" t="s">
        <v>26</v>
      </c>
      <c r="D15" t="s">
        <v>17</v>
      </c>
      <c r="E15" t="s">
        <v>18</v>
      </c>
      <c r="F15" t="s">
        <v>19</v>
      </c>
      <c r="G15">
        <v>2</v>
      </c>
      <c r="H15">
        <v>13</v>
      </c>
    </row>
    <row r="16" spans="1:9" x14ac:dyDescent="0.25">
      <c r="A16" t="s">
        <v>43</v>
      </c>
      <c r="B16" t="s">
        <v>44</v>
      </c>
      <c r="C16" t="s">
        <v>16</v>
      </c>
      <c r="D16" t="s">
        <v>17</v>
      </c>
      <c r="E16" t="s">
        <v>18</v>
      </c>
      <c r="F16" t="s">
        <v>19</v>
      </c>
      <c r="G16">
        <v>0</v>
      </c>
      <c r="H16">
        <v>3</v>
      </c>
    </row>
    <row r="17" spans="1:8" x14ac:dyDescent="0.25">
      <c r="A17" t="s">
        <v>45</v>
      </c>
      <c r="B17" t="s">
        <v>28</v>
      </c>
      <c r="C17" t="s">
        <v>10</v>
      </c>
      <c r="D17" t="s">
        <v>17</v>
      </c>
      <c r="E17" t="s">
        <v>18</v>
      </c>
      <c r="F17" t="s">
        <v>19</v>
      </c>
      <c r="G17">
        <v>1</v>
      </c>
      <c r="H17">
        <v>13</v>
      </c>
    </row>
    <row r="18" spans="1:8" x14ac:dyDescent="0.25">
      <c r="A18" t="s">
        <v>46</v>
      </c>
      <c r="B18" t="s">
        <v>47</v>
      </c>
      <c r="C18" t="s">
        <v>10</v>
      </c>
      <c r="D18" t="s">
        <v>17</v>
      </c>
      <c r="E18" t="s">
        <v>18</v>
      </c>
      <c r="F18" t="s">
        <v>19</v>
      </c>
      <c r="G18">
        <v>33</v>
      </c>
      <c r="H18">
        <v>161</v>
      </c>
    </row>
    <row r="19" spans="1:8" x14ac:dyDescent="0.25">
      <c r="A19" t="s">
        <v>48</v>
      </c>
      <c r="B19" t="s">
        <v>49</v>
      </c>
      <c r="C19" t="s">
        <v>10</v>
      </c>
      <c r="D19" t="s">
        <v>17</v>
      </c>
      <c r="E19" t="s">
        <v>18</v>
      </c>
      <c r="F19" t="s">
        <v>19</v>
      </c>
      <c r="G19">
        <v>0</v>
      </c>
      <c r="H19">
        <v>23</v>
      </c>
    </row>
    <row r="20" spans="1:8" x14ac:dyDescent="0.25">
      <c r="A20" t="s">
        <v>50</v>
      </c>
      <c r="B20" t="s">
        <v>51</v>
      </c>
      <c r="C20" t="s">
        <v>10</v>
      </c>
      <c r="D20" t="s">
        <v>17</v>
      </c>
      <c r="E20" t="s">
        <v>18</v>
      </c>
      <c r="F20" t="s">
        <v>19</v>
      </c>
      <c r="G20">
        <v>17</v>
      </c>
      <c r="H20">
        <v>61</v>
      </c>
    </row>
    <row r="21" spans="1:8" x14ac:dyDescent="0.25">
      <c r="A21" t="s">
        <v>52</v>
      </c>
      <c r="B21" t="s">
        <v>28</v>
      </c>
      <c r="C21" t="s">
        <v>10</v>
      </c>
      <c r="D21" t="s">
        <v>17</v>
      </c>
      <c r="E21" t="s">
        <v>18</v>
      </c>
      <c r="F21" t="s">
        <v>19</v>
      </c>
      <c r="G21">
        <v>0</v>
      </c>
      <c r="H21">
        <v>15</v>
      </c>
    </row>
    <row r="22" spans="1:8" x14ac:dyDescent="0.25">
      <c r="A22" t="s">
        <v>53</v>
      </c>
      <c r="B22" t="s">
        <v>54</v>
      </c>
      <c r="C22" t="s">
        <v>10</v>
      </c>
      <c r="D22" t="s">
        <v>17</v>
      </c>
      <c r="E22" t="s">
        <v>18</v>
      </c>
      <c r="F22" t="s">
        <v>19</v>
      </c>
      <c r="G22">
        <v>0</v>
      </c>
      <c r="H22">
        <v>2</v>
      </c>
    </row>
    <row r="23" spans="1:8" x14ac:dyDescent="0.25">
      <c r="A23" t="s">
        <v>55</v>
      </c>
      <c r="B23" t="s">
        <v>30</v>
      </c>
      <c r="C23" t="s">
        <v>10</v>
      </c>
      <c r="D23" t="s">
        <v>17</v>
      </c>
      <c r="E23" t="s">
        <v>18</v>
      </c>
      <c r="F23" t="s">
        <v>19</v>
      </c>
      <c r="G23">
        <v>2</v>
      </c>
      <c r="H23">
        <v>13</v>
      </c>
    </row>
    <row r="24" spans="1:8" x14ac:dyDescent="0.25">
      <c r="A24" t="s">
        <v>56</v>
      </c>
      <c r="B24" t="s">
        <v>57</v>
      </c>
      <c r="C24" t="s">
        <v>16</v>
      </c>
      <c r="D24" t="s">
        <v>17</v>
      </c>
      <c r="E24" t="s">
        <v>18</v>
      </c>
      <c r="F24" t="s">
        <v>19</v>
      </c>
      <c r="G24">
        <v>0</v>
      </c>
      <c r="H24">
        <v>9</v>
      </c>
    </row>
    <row r="25" spans="1:8" x14ac:dyDescent="0.25">
      <c r="A25" t="s">
        <v>58</v>
      </c>
      <c r="B25" t="s">
        <v>44</v>
      </c>
      <c r="C25" t="s">
        <v>10</v>
      </c>
      <c r="D25" t="s">
        <v>17</v>
      </c>
      <c r="E25" t="s">
        <v>18</v>
      </c>
      <c r="F25" t="s">
        <v>19</v>
      </c>
      <c r="G25">
        <v>0</v>
      </c>
      <c r="H25">
        <v>38</v>
      </c>
    </row>
    <row r="26" spans="1:8" x14ac:dyDescent="0.25">
      <c r="A26" t="s">
        <v>59</v>
      </c>
      <c r="B26" t="s">
        <v>28</v>
      </c>
      <c r="C26" t="s">
        <v>10</v>
      </c>
      <c r="D26" t="s">
        <v>17</v>
      </c>
      <c r="E26" t="s">
        <v>18</v>
      </c>
      <c r="F26" t="s">
        <v>19</v>
      </c>
      <c r="G26">
        <v>0</v>
      </c>
      <c r="H26">
        <v>5</v>
      </c>
    </row>
    <row r="27" spans="1:8" x14ac:dyDescent="0.25">
      <c r="A27" t="s">
        <v>60</v>
      </c>
      <c r="B27" t="s">
        <v>30</v>
      </c>
      <c r="C27" t="s">
        <v>26</v>
      </c>
      <c r="D27" t="s">
        <v>17</v>
      </c>
      <c r="E27" t="s">
        <v>18</v>
      </c>
      <c r="F27" t="s">
        <v>19</v>
      </c>
      <c r="G27">
        <v>0</v>
      </c>
      <c r="H27">
        <v>3</v>
      </c>
    </row>
    <row r="28" spans="1:8" x14ac:dyDescent="0.25">
      <c r="A28" t="s">
        <v>61</v>
      </c>
      <c r="B28" t="s">
        <v>30</v>
      </c>
      <c r="C28" t="s">
        <v>26</v>
      </c>
      <c r="D28" t="s">
        <v>17</v>
      </c>
      <c r="E28" t="s">
        <v>18</v>
      </c>
      <c r="F28" t="s">
        <v>19</v>
      </c>
      <c r="G28">
        <v>0</v>
      </c>
      <c r="H28">
        <v>2</v>
      </c>
    </row>
    <row r="29" spans="1:8" x14ac:dyDescent="0.25">
      <c r="A29" t="s">
        <v>62</v>
      </c>
      <c r="B29" t="s">
        <v>63</v>
      </c>
      <c r="C29" t="s">
        <v>10</v>
      </c>
      <c r="D29" t="s">
        <v>17</v>
      </c>
      <c r="E29" t="s">
        <v>18</v>
      </c>
      <c r="F29" t="s">
        <v>19</v>
      </c>
      <c r="G29">
        <v>0</v>
      </c>
      <c r="H29">
        <v>5</v>
      </c>
    </row>
    <row r="30" spans="1:8" x14ac:dyDescent="0.25">
      <c r="A30" t="s">
        <v>64</v>
      </c>
      <c r="B30" t="s">
        <v>51</v>
      </c>
      <c r="C30" t="s">
        <v>10</v>
      </c>
      <c r="D30" t="s">
        <v>17</v>
      </c>
      <c r="E30" t="s">
        <v>18</v>
      </c>
      <c r="F30" t="s">
        <v>19</v>
      </c>
      <c r="G30">
        <v>0</v>
      </c>
      <c r="H30">
        <v>87</v>
      </c>
    </row>
    <row r="31" spans="1:8" x14ac:dyDescent="0.25">
      <c r="A31" t="s">
        <v>65</v>
      </c>
      <c r="B31" t="s">
        <v>28</v>
      </c>
      <c r="C31" t="s">
        <v>26</v>
      </c>
      <c r="D31" t="s">
        <v>17</v>
      </c>
      <c r="E31" t="s">
        <v>18</v>
      </c>
      <c r="F31" t="s">
        <v>19</v>
      </c>
      <c r="G31">
        <v>5</v>
      </c>
      <c r="H31">
        <v>3</v>
      </c>
    </row>
    <row r="32" spans="1:8" x14ac:dyDescent="0.25">
      <c r="A32" t="s">
        <v>66</v>
      </c>
      <c r="B32" t="s">
        <v>67</v>
      </c>
      <c r="C32" t="s">
        <v>26</v>
      </c>
      <c r="D32" t="s">
        <v>17</v>
      </c>
      <c r="E32" t="s">
        <v>18</v>
      </c>
      <c r="F32" t="s">
        <v>19</v>
      </c>
      <c r="G32">
        <v>16</v>
      </c>
      <c r="H32">
        <v>36</v>
      </c>
    </row>
    <row r="33" spans="1:9" x14ac:dyDescent="0.25">
      <c r="A33" t="s">
        <v>68</v>
      </c>
      <c r="B33" t="s">
        <v>63</v>
      </c>
      <c r="C33" t="s">
        <v>10</v>
      </c>
      <c r="D33" t="s">
        <v>17</v>
      </c>
      <c r="E33" t="s">
        <v>12</v>
      </c>
      <c r="F33" t="s">
        <v>13</v>
      </c>
      <c r="G33">
        <v>0</v>
      </c>
      <c r="H33">
        <v>9</v>
      </c>
    </row>
    <row r="34" spans="1:9" x14ac:dyDescent="0.25">
      <c r="A34" t="s">
        <v>69</v>
      </c>
      <c r="B34" t="s">
        <v>70</v>
      </c>
      <c r="C34" t="s">
        <v>10</v>
      </c>
      <c r="D34" t="s">
        <v>17</v>
      </c>
      <c r="E34" t="s">
        <v>18</v>
      </c>
      <c r="F34" t="s">
        <v>19</v>
      </c>
      <c r="G34">
        <v>40</v>
      </c>
      <c r="H34">
        <v>72</v>
      </c>
    </row>
    <row r="35" spans="1:9" x14ac:dyDescent="0.25">
      <c r="A35" t="s">
        <v>71</v>
      </c>
      <c r="B35" t="s">
        <v>30</v>
      </c>
      <c r="C35" t="s">
        <v>16</v>
      </c>
      <c r="D35" t="s">
        <v>17</v>
      </c>
      <c r="E35" t="s">
        <v>18</v>
      </c>
      <c r="F35" t="s">
        <v>19</v>
      </c>
      <c r="G35">
        <v>3</v>
      </c>
      <c r="H35">
        <v>53</v>
      </c>
    </row>
    <row r="36" spans="1:9" x14ac:dyDescent="0.25">
      <c r="A36" t="s">
        <v>72</v>
      </c>
      <c r="C36" t="s">
        <v>16</v>
      </c>
      <c r="D36" t="s">
        <v>73</v>
      </c>
      <c r="E36" t="s">
        <v>74</v>
      </c>
      <c r="F36" t="s">
        <v>13</v>
      </c>
      <c r="G36">
        <v>3</v>
      </c>
      <c r="H36">
        <v>21</v>
      </c>
    </row>
    <row r="37" spans="1:9" x14ac:dyDescent="0.25">
      <c r="A37" t="s">
        <v>134</v>
      </c>
      <c r="B37" t="s">
        <v>135</v>
      </c>
      <c r="C37" t="s">
        <v>136</v>
      </c>
      <c r="D37" t="s">
        <v>137</v>
      </c>
      <c r="E37" t="s">
        <v>18</v>
      </c>
      <c r="F37" t="s">
        <v>19</v>
      </c>
      <c r="G37">
        <v>0</v>
      </c>
      <c r="H37">
        <v>0</v>
      </c>
      <c r="I37">
        <v>3</v>
      </c>
    </row>
    <row r="38" spans="1:9" x14ac:dyDescent="0.25">
      <c r="A38" t="s">
        <v>75</v>
      </c>
      <c r="B38" t="s">
        <v>30</v>
      </c>
      <c r="C38" t="s">
        <v>16</v>
      </c>
      <c r="D38" t="s">
        <v>76</v>
      </c>
      <c r="E38" t="s">
        <v>12</v>
      </c>
      <c r="F38" t="s">
        <v>13</v>
      </c>
      <c r="G38">
        <v>7</v>
      </c>
      <c r="H38">
        <v>13</v>
      </c>
    </row>
    <row r="39" spans="1:9" x14ac:dyDescent="0.25">
      <c r="A39" t="s">
        <v>77</v>
      </c>
      <c r="B39" t="s">
        <v>44</v>
      </c>
      <c r="C39" t="s">
        <v>16</v>
      </c>
      <c r="D39" t="s">
        <v>76</v>
      </c>
      <c r="E39" t="s">
        <v>74</v>
      </c>
      <c r="F39" t="s">
        <v>13</v>
      </c>
      <c r="G39">
        <v>52</v>
      </c>
      <c r="H39">
        <v>16</v>
      </c>
    </row>
    <row r="40" spans="1:9" x14ac:dyDescent="0.25">
      <c r="A40" t="s">
        <v>78</v>
      </c>
      <c r="B40" t="s">
        <v>37</v>
      </c>
      <c r="C40" t="s">
        <v>10</v>
      </c>
      <c r="D40" t="s">
        <v>76</v>
      </c>
      <c r="E40" t="s">
        <v>74</v>
      </c>
      <c r="F40" t="s">
        <v>13</v>
      </c>
      <c r="G40">
        <v>740</v>
      </c>
      <c r="H40">
        <v>183</v>
      </c>
    </row>
    <row r="41" spans="1:9" x14ac:dyDescent="0.25">
      <c r="A41" t="s">
        <v>79</v>
      </c>
      <c r="B41" t="s">
        <v>30</v>
      </c>
      <c r="C41" t="s">
        <v>80</v>
      </c>
      <c r="D41" t="s">
        <v>76</v>
      </c>
      <c r="E41" t="s">
        <v>12</v>
      </c>
      <c r="F41" t="s">
        <v>13</v>
      </c>
      <c r="G41">
        <v>40</v>
      </c>
      <c r="H41">
        <v>62</v>
      </c>
    </row>
    <row r="42" spans="1:9" x14ac:dyDescent="0.25">
      <c r="A42" t="s">
        <v>81</v>
      </c>
      <c r="B42" t="s">
        <v>82</v>
      </c>
      <c r="C42" t="s">
        <v>16</v>
      </c>
      <c r="D42" t="s">
        <v>76</v>
      </c>
      <c r="E42" t="s">
        <v>12</v>
      </c>
      <c r="F42" t="s">
        <v>13</v>
      </c>
      <c r="G42">
        <v>36</v>
      </c>
      <c r="H42">
        <v>44</v>
      </c>
    </row>
    <row r="43" spans="1:9" x14ac:dyDescent="0.25">
      <c r="A43" t="s">
        <v>83</v>
      </c>
      <c r="B43" t="s">
        <v>30</v>
      </c>
      <c r="C43" t="s">
        <v>16</v>
      </c>
      <c r="D43" t="s">
        <v>76</v>
      </c>
      <c r="E43" t="s">
        <v>12</v>
      </c>
      <c r="F43" t="s">
        <v>13</v>
      </c>
      <c r="G43">
        <v>289</v>
      </c>
      <c r="H43">
        <v>1049</v>
      </c>
    </row>
    <row r="44" spans="1:9" x14ac:dyDescent="0.25">
      <c r="A44" t="s">
        <v>84</v>
      </c>
      <c r="B44" t="s">
        <v>85</v>
      </c>
      <c r="C44" t="s">
        <v>26</v>
      </c>
      <c r="D44" t="s">
        <v>86</v>
      </c>
      <c r="E44" t="s">
        <v>12</v>
      </c>
      <c r="F44" t="s">
        <v>13</v>
      </c>
      <c r="G44">
        <v>2</v>
      </c>
      <c r="H44">
        <v>0</v>
      </c>
    </row>
    <row r="45" spans="1:9" x14ac:dyDescent="0.25">
      <c r="A45" t="s">
        <v>165</v>
      </c>
      <c r="B45" t="s">
        <v>39</v>
      </c>
      <c r="C45" t="s">
        <v>87</v>
      </c>
      <c r="D45" t="s">
        <v>88</v>
      </c>
      <c r="E45" t="s">
        <v>12</v>
      </c>
      <c r="F45" t="s">
        <v>13</v>
      </c>
      <c r="G45">
        <v>48</v>
      </c>
      <c r="H45">
        <v>4</v>
      </c>
      <c r="I45">
        <v>23</v>
      </c>
    </row>
    <row r="46" spans="1:9" x14ac:dyDescent="0.25">
      <c r="A46" t="s">
        <v>89</v>
      </c>
      <c r="B46" t="s">
        <v>90</v>
      </c>
      <c r="C46" t="s">
        <v>10</v>
      </c>
      <c r="D46" t="s">
        <v>86</v>
      </c>
      <c r="E46" t="s">
        <v>12</v>
      </c>
      <c r="F46" t="s">
        <v>13</v>
      </c>
      <c r="G46">
        <v>535</v>
      </c>
      <c r="H46">
        <v>5</v>
      </c>
    </row>
    <row r="47" spans="1:9" x14ac:dyDescent="0.25">
      <c r="A47" t="s">
        <v>154</v>
      </c>
      <c r="B47" t="s">
        <v>28</v>
      </c>
      <c r="C47" t="s">
        <v>10</v>
      </c>
      <c r="D47" t="s">
        <v>88</v>
      </c>
      <c r="E47" t="s">
        <v>74</v>
      </c>
      <c r="F47" t="s">
        <v>13</v>
      </c>
      <c r="G47">
        <v>4989</v>
      </c>
      <c r="H47">
        <v>668</v>
      </c>
      <c r="I47">
        <f>1961+1447</f>
        <v>3408</v>
      </c>
    </row>
    <row r="48" spans="1:9" x14ac:dyDescent="0.25">
      <c r="A48" t="s">
        <v>164</v>
      </c>
      <c r="B48" t="s">
        <v>91</v>
      </c>
      <c r="C48" t="s">
        <v>92</v>
      </c>
      <c r="D48" t="s">
        <v>88</v>
      </c>
      <c r="E48" t="s">
        <v>12</v>
      </c>
      <c r="F48" t="s">
        <v>13</v>
      </c>
      <c r="G48">
        <v>20</v>
      </c>
      <c r="H48">
        <v>0</v>
      </c>
      <c r="I48">
        <v>19</v>
      </c>
    </row>
    <row r="49" spans="1:9" x14ac:dyDescent="0.25">
      <c r="A49" t="s">
        <v>152</v>
      </c>
      <c r="B49" t="s">
        <v>42</v>
      </c>
      <c r="C49" t="s">
        <v>26</v>
      </c>
      <c r="D49" t="s">
        <v>88</v>
      </c>
      <c r="E49" t="s">
        <v>74</v>
      </c>
      <c r="F49" t="s">
        <v>13</v>
      </c>
      <c r="G49">
        <v>9813</v>
      </c>
      <c r="H49">
        <v>861</v>
      </c>
      <c r="I49">
        <f>4195+1024</f>
        <v>5219</v>
      </c>
    </row>
    <row r="50" spans="1:9" x14ac:dyDescent="0.25">
      <c r="A50" t="s">
        <v>156</v>
      </c>
      <c r="B50" t="s">
        <v>28</v>
      </c>
      <c r="C50" t="s">
        <v>10</v>
      </c>
      <c r="D50" t="s">
        <v>88</v>
      </c>
      <c r="E50" t="s">
        <v>74</v>
      </c>
      <c r="F50" t="s">
        <v>13</v>
      </c>
      <c r="G50">
        <v>1485</v>
      </c>
      <c r="H50">
        <v>236</v>
      </c>
      <c r="I50">
        <f>500+602</f>
        <v>1102</v>
      </c>
    </row>
    <row r="51" spans="1:9" x14ac:dyDescent="0.25">
      <c r="A51" t="s">
        <v>163</v>
      </c>
      <c r="B51" t="s">
        <v>54</v>
      </c>
      <c r="C51" t="s">
        <v>93</v>
      </c>
      <c r="D51" t="s">
        <v>88</v>
      </c>
      <c r="E51" t="s">
        <v>12</v>
      </c>
      <c r="F51" t="s">
        <v>13</v>
      </c>
      <c r="G51">
        <v>94</v>
      </c>
      <c r="H51">
        <v>0</v>
      </c>
      <c r="I51">
        <v>184</v>
      </c>
    </row>
    <row r="52" spans="1:9" x14ac:dyDescent="0.25">
      <c r="A52" t="s">
        <v>160</v>
      </c>
      <c r="B52" t="s">
        <v>94</v>
      </c>
      <c r="C52" t="s">
        <v>95</v>
      </c>
      <c r="D52" t="s">
        <v>88</v>
      </c>
      <c r="E52" t="s">
        <v>12</v>
      </c>
      <c r="F52" t="s">
        <v>13</v>
      </c>
      <c r="G52">
        <v>294</v>
      </c>
      <c r="H52">
        <v>14</v>
      </c>
      <c r="I52">
        <v>152</v>
      </c>
    </row>
    <row r="53" spans="1:9" x14ac:dyDescent="0.25">
      <c r="A53" t="s">
        <v>158</v>
      </c>
      <c r="B53" t="s">
        <v>28</v>
      </c>
      <c r="C53" t="s">
        <v>10</v>
      </c>
      <c r="D53" t="s">
        <v>88</v>
      </c>
      <c r="E53" t="s">
        <v>74</v>
      </c>
      <c r="F53" t="s">
        <v>13</v>
      </c>
      <c r="G53">
        <v>227</v>
      </c>
      <c r="H53">
        <v>4</v>
      </c>
      <c r="I53">
        <f>245+399</f>
        <v>644</v>
      </c>
    </row>
    <row r="54" spans="1:9" x14ac:dyDescent="0.25">
      <c r="A54" t="s">
        <v>170</v>
      </c>
      <c r="B54" t="s">
        <v>54</v>
      </c>
      <c r="C54" t="s">
        <v>93</v>
      </c>
      <c r="D54" t="s">
        <v>88</v>
      </c>
      <c r="E54" t="s">
        <v>12</v>
      </c>
      <c r="F54" t="s">
        <v>13</v>
      </c>
      <c r="G54">
        <v>43</v>
      </c>
      <c r="H54">
        <v>1</v>
      </c>
      <c r="I54">
        <v>84</v>
      </c>
    </row>
    <row r="55" spans="1:9" x14ac:dyDescent="0.25">
      <c r="A55" t="s">
        <v>96</v>
      </c>
      <c r="B55" t="s">
        <v>90</v>
      </c>
      <c r="C55" t="s">
        <v>10</v>
      </c>
      <c r="D55" t="s">
        <v>86</v>
      </c>
      <c r="E55" t="s">
        <v>12</v>
      </c>
      <c r="F55" t="s">
        <v>13</v>
      </c>
      <c r="G55">
        <v>57</v>
      </c>
      <c r="H55">
        <v>12</v>
      </c>
    </row>
    <row r="56" spans="1:9" x14ac:dyDescent="0.25">
      <c r="A56" t="s">
        <v>171</v>
      </c>
      <c r="B56" t="s">
        <v>94</v>
      </c>
      <c r="C56" t="s">
        <v>95</v>
      </c>
      <c r="D56" t="s">
        <v>88</v>
      </c>
      <c r="E56" t="s">
        <v>12</v>
      </c>
      <c r="F56" t="s">
        <v>13</v>
      </c>
      <c r="G56">
        <v>76</v>
      </c>
      <c r="H56">
        <v>5</v>
      </c>
      <c r="I56">
        <v>63</v>
      </c>
    </row>
    <row r="57" spans="1:9" x14ac:dyDescent="0.25">
      <c r="A57" t="s">
        <v>153</v>
      </c>
      <c r="B57" t="s">
        <v>42</v>
      </c>
      <c r="C57" t="s">
        <v>26</v>
      </c>
      <c r="D57" t="s">
        <v>88</v>
      </c>
      <c r="E57" t="s">
        <v>74</v>
      </c>
      <c r="F57" t="s">
        <v>13</v>
      </c>
      <c r="G57">
        <v>1314</v>
      </c>
      <c r="H57">
        <v>57</v>
      </c>
      <c r="I57">
        <f>1993+1619</f>
        <v>3612</v>
      </c>
    </row>
    <row r="58" spans="1:9" x14ac:dyDescent="0.25">
      <c r="A58" t="s">
        <v>176</v>
      </c>
      <c r="B58" t="s">
        <v>54</v>
      </c>
      <c r="C58" t="s">
        <v>93</v>
      </c>
      <c r="D58" t="s">
        <v>88</v>
      </c>
      <c r="E58" t="s">
        <v>12</v>
      </c>
      <c r="F58" t="s">
        <v>13</v>
      </c>
      <c r="G58">
        <v>24</v>
      </c>
      <c r="H58">
        <v>0</v>
      </c>
      <c r="I58">
        <v>62</v>
      </c>
    </row>
    <row r="59" spans="1:9" x14ac:dyDescent="0.25">
      <c r="A59" t="s">
        <v>97</v>
      </c>
      <c r="B59" t="s">
        <v>90</v>
      </c>
      <c r="C59" t="s">
        <v>10</v>
      </c>
      <c r="D59" t="s">
        <v>86</v>
      </c>
      <c r="E59" t="s">
        <v>12</v>
      </c>
      <c r="F59" t="s">
        <v>13</v>
      </c>
      <c r="G59">
        <v>190</v>
      </c>
      <c r="H59">
        <v>3</v>
      </c>
    </row>
    <row r="60" spans="1:9" x14ac:dyDescent="0.25">
      <c r="A60" t="s">
        <v>180</v>
      </c>
      <c r="B60" t="s">
        <v>54</v>
      </c>
      <c r="C60" t="s">
        <v>93</v>
      </c>
      <c r="D60" t="s">
        <v>88</v>
      </c>
      <c r="E60" t="s">
        <v>12</v>
      </c>
      <c r="F60" t="s">
        <v>13</v>
      </c>
      <c r="G60">
        <v>115</v>
      </c>
      <c r="H60">
        <v>5</v>
      </c>
      <c r="I60">
        <v>93</v>
      </c>
    </row>
    <row r="61" spans="1:9" x14ac:dyDescent="0.25">
      <c r="A61" t="s">
        <v>141</v>
      </c>
      <c r="B61" t="s">
        <v>98</v>
      </c>
      <c r="C61" t="s">
        <v>16</v>
      </c>
      <c r="D61" t="s">
        <v>88</v>
      </c>
      <c r="E61" t="s">
        <v>12</v>
      </c>
      <c r="F61" t="s">
        <v>13</v>
      </c>
      <c r="G61">
        <v>264</v>
      </c>
      <c r="H61">
        <v>25</v>
      </c>
      <c r="I61">
        <v>106</v>
      </c>
    </row>
    <row r="62" spans="1:9" x14ac:dyDescent="0.25">
      <c r="A62" t="s">
        <v>138</v>
      </c>
      <c r="B62" t="s">
        <v>139</v>
      </c>
      <c r="C62" t="s">
        <v>140</v>
      </c>
      <c r="D62" t="s">
        <v>88</v>
      </c>
      <c r="E62" t="s">
        <v>18</v>
      </c>
      <c r="F62" t="s">
        <v>19</v>
      </c>
      <c r="G62">
        <v>8</v>
      </c>
      <c r="H62">
        <v>20</v>
      </c>
      <c r="I62">
        <v>2</v>
      </c>
    </row>
    <row r="63" spans="1:9" x14ac:dyDescent="0.25">
      <c r="A63" t="s">
        <v>142</v>
      </c>
      <c r="B63" t="s">
        <v>99</v>
      </c>
      <c r="C63" t="s">
        <v>10</v>
      </c>
      <c r="D63" t="s">
        <v>88</v>
      </c>
      <c r="E63" t="s">
        <v>18</v>
      </c>
      <c r="F63" t="s">
        <v>19</v>
      </c>
      <c r="G63">
        <v>74</v>
      </c>
      <c r="H63">
        <v>34</v>
      </c>
      <c r="I63">
        <v>336</v>
      </c>
    </row>
    <row r="64" spans="1:9" x14ac:dyDescent="0.25">
      <c r="A64" t="s">
        <v>172</v>
      </c>
      <c r="B64" t="s">
        <v>174</v>
      </c>
      <c r="C64" t="s">
        <v>10</v>
      </c>
      <c r="D64" t="s">
        <v>86</v>
      </c>
      <c r="E64" t="s">
        <v>18</v>
      </c>
      <c r="F64" t="s">
        <v>19</v>
      </c>
      <c r="G64">
        <v>262</v>
      </c>
      <c r="H64">
        <v>27</v>
      </c>
    </row>
    <row r="65" spans="1:9" x14ac:dyDescent="0.25">
      <c r="A65" t="s">
        <v>173</v>
      </c>
      <c r="B65" t="s">
        <v>100</v>
      </c>
      <c r="C65" t="s">
        <v>10</v>
      </c>
      <c r="D65" t="s">
        <v>86</v>
      </c>
      <c r="E65" t="s">
        <v>18</v>
      </c>
      <c r="F65" t="s">
        <v>19</v>
      </c>
      <c r="G65">
        <v>74</v>
      </c>
      <c r="H65">
        <v>11</v>
      </c>
    </row>
    <row r="66" spans="1:9" x14ac:dyDescent="0.25">
      <c r="A66" t="s">
        <v>101</v>
      </c>
      <c r="B66" t="s">
        <v>102</v>
      </c>
      <c r="C66" t="s">
        <v>26</v>
      </c>
      <c r="D66" t="s">
        <v>86</v>
      </c>
      <c r="E66" t="s">
        <v>18</v>
      </c>
      <c r="F66" t="s">
        <v>19</v>
      </c>
      <c r="H66">
        <v>0</v>
      </c>
    </row>
    <row r="67" spans="1:9" x14ac:dyDescent="0.25">
      <c r="A67" t="s">
        <v>103</v>
      </c>
      <c r="B67" t="s">
        <v>102</v>
      </c>
      <c r="C67" t="s">
        <v>26</v>
      </c>
      <c r="D67" t="s">
        <v>86</v>
      </c>
      <c r="E67" t="s">
        <v>18</v>
      </c>
      <c r="F67" t="s">
        <v>19</v>
      </c>
      <c r="G67">
        <v>410</v>
      </c>
      <c r="H67">
        <v>25</v>
      </c>
    </row>
    <row r="68" spans="1:9" x14ac:dyDescent="0.25">
      <c r="A68" t="s">
        <v>169</v>
      </c>
      <c r="B68" t="s">
        <v>94</v>
      </c>
      <c r="C68" t="s">
        <v>95</v>
      </c>
      <c r="D68" t="s">
        <v>88</v>
      </c>
      <c r="E68" t="s">
        <v>18</v>
      </c>
      <c r="F68" t="s">
        <v>19</v>
      </c>
      <c r="G68">
        <v>16</v>
      </c>
      <c r="H68">
        <v>5</v>
      </c>
      <c r="I68">
        <v>15</v>
      </c>
    </row>
    <row r="69" spans="1:9" x14ac:dyDescent="0.25">
      <c r="A69" t="s">
        <v>104</v>
      </c>
      <c r="B69" t="s">
        <v>105</v>
      </c>
      <c r="C69" t="s">
        <v>10</v>
      </c>
      <c r="D69" t="s">
        <v>86</v>
      </c>
      <c r="E69" t="s">
        <v>18</v>
      </c>
      <c r="F69" t="s">
        <v>19</v>
      </c>
      <c r="G69">
        <v>12</v>
      </c>
      <c r="H69">
        <v>1</v>
      </c>
    </row>
    <row r="70" spans="1:9" x14ac:dyDescent="0.25">
      <c r="A70" t="s">
        <v>103</v>
      </c>
      <c r="B70" t="s">
        <v>28</v>
      </c>
      <c r="C70" t="s">
        <v>10</v>
      </c>
      <c r="D70" t="s">
        <v>86</v>
      </c>
      <c r="E70" t="s">
        <v>18</v>
      </c>
      <c r="F70" t="s">
        <v>19</v>
      </c>
      <c r="H70">
        <v>0</v>
      </c>
    </row>
    <row r="71" spans="1:9" x14ac:dyDescent="0.25">
      <c r="A71" t="s">
        <v>106</v>
      </c>
      <c r="B71" t="s">
        <v>107</v>
      </c>
      <c r="C71" t="s">
        <v>16</v>
      </c>
      <c r="D71" t="s">
        <v>88</v>
      </c>
      <c r="E71" t="s">
        <v>18</v>
      </c>
      <c r="F71" t="s">
        <v>19</v>
      </c>
      <c r="G71">
        <v>11</v>
      </c>
      <c r="H71">
        <v>12</v>
      </c>
      <c r="I71">
        <v>3</v>
      </c>
    </row>
    <row r="72" spans="1:9" x14ac:dyDescent="0.25">
      <c r="A72" t="s">
        <v>108</v>
      </c>
      <c r="B72" t="s">
        <v>54</v>
      </c>
      <c r="C72" t="s">
        <v>10</v>
      </c>
      <c r="D72" t="s">
        <v>86</v>
      </c>
      <c r="E72" t="s">
        <v>18</v>
      </c>
      <c r="F72" t="s">
        <v>19</v>
      </c>
      <c r="H72">
        <v>0</v>
      </c>
    </row>
    <row r="73" spans="1:9" x14ac:dyDescent="0.25">
      <c r="A73" t="s">
        <v>181</v>
      </c>
      <c r="B73" t="s">
        <v>54</v>
      </c>
      <c r="C73" t="s">
        <v>93</v>
      </c>
      <c r="D73" t="s">
        <v>88</v>
      </c>
      <c r="E73" t="s">
        <v>18</v>
      </c>
      <c r="F73" t="s">
        <v>19</v>
      </c>
      <c r="G73">
        <v>14</v>
      </c>
      <c r="H73">
        <v>0</v>
      </c>
      <c r="I73">
        <v>18</v>
      </c>
    </row>
    <row r="74" spans="1:9" x14ac:dyDescent="0.25">
      <c r="A74" t="s">
        <v>108</v>
      </c>
      <c r="B74" t="s">
        <v>102</v>
      </c>
      <c r="C74" t="s">
        <v>26</v>
      </c>
      <c r="D74" t="s">
        <v>86</v>
      </c>
      <c r="E74" t="s">
        <v>18</v>
      </c>
      <c r="F74" t="s">
        <v>19</v>
      </c>
      <c r="H74">
        <v>0</v>
      </c>
    </row>
    <row r="75" spans="1:9" x14ac:dyDescent="0.25">
      <c r="A75" t="s">
        <v>109</v>
      </c>
      <c r="B75" t="s">
        <v>110</v>
      </c>
      <c r="C75" t="s">
        <v>10</v>
      </c>
      <c r="D75" t="s">
        <v>88</v>
      </c>
      <c r="E75" t="s">
        <v>18</v>
      </c>
      <c r="F75" t="s">
        <v>19</v>
      </c>
      <c r="G75">
        <v>122</v>
      </c>
      <c r="H75">
        <v>11</v>
      </c>
      <c r="I75">
        <v>337</v>
      </c>
    </row>
    <row r="76" spans="1:9" x14ac:dyDescent="0.25">
      <c r="A76" t="s">
        <v>168</v>
      </c>
      <c r="B76" t="s">
        <v>111</v>
      </c>
      <c r="C76" t="s">
        <v>93</v>
      </c>
      <c r="D76" t="s">
        <v>88</v>
      </c>
      <c r="E76" t="s">
        <v>18</v>
      </c>
      <c r="F76" t="s">
        <v>19</v>
      </c>
      <c r="G76">
        <v>223</v>
      </c>
      <c r="H76">
        <v>3</v>
      </c>
      <c r="I76">
        <v>530</v>
      </c>
    </row>
    <row r="77" spans="1:9" x14ac:dyDescent="0.25">
      <c r="A77" t="s">
        <v>112</v>
      </c>
      <c r="B77" t="s">
        <v>144</v>
      </c>
      <c r="C77" t="s">
        <v>143</v>
      </c>
      <c r="D77" t="s">
        <v>130</v>
      </c>
      <c r="G77">
        <v>9</v>
      </c>
      <c r="H77">
        <v>138</v>
      </c>
    </row>
    <row r="78" spans="1:9" x14ac:dyDescent="0.25">
      <c r="A78" t="s">
        <v>113</v>
      </c>
      <c r="C78" t="s">
        <v>133</v>
      </c>
      <c r="D78" t="s">
        <v>130</v>
      </c>
      <c r="G78" t="s">
        <v>114</v>
      </c>
      <c r="H78">
        <v>0</v>
      </c>
    </row>
    <row r="79" spans="1:9" x14ac:dyDescent="0.25">
      <c r="A79" t="s">
        <v>175</v>
      </c>
      <c r="C79" t="s">
        <v>133</v>
      </c>
      <c r="D79" t="s">
        <v>130</v>
      </c>
      <c r="G79">
        <v>34</v>
      </c>
      <c r="H79">
        <v>188</v>
      </c>
      <c r="I79">
        <v>0</v>
      </c>
    </row>
    <row r="80" spans="1:9" x14ac:dyDescent="0.25">
      <c r="A80" t="s">
        <v>157</v>
      </c>
      <c r="C80" t="s">
        <v>26</v>
      </c>
      <c r="D80" t="s">
        <v>88</v>
      </c>
      <c r="G80">
        <v>1004</v>
      </c>
      <c r="H80">
        <v>56</v>
      </c>
      <c r="I80">
        <f>412+283</f>
        <v>695</v>
      </c>
    </row>
    <row r="81" spans="1:9" x14ac:dyDescent="0.25">
      <c r="A81" t="s">
        <v>115</v>
      </c>
      <c r="B81" t="s">
        <v>149</v>
      </c>
      <c r="C81" t="s">
        <v>150</v>
      </c>
      <c r="D81" t="s">
        <v>130</v>
      </c>
      <c r="H81">
        <v>0</v>
      </c>
    </row>
    <row r="82" spans="1:9" x14ac:dyDescent="0.25">
      <c r="A82" t="s">
        <v>117</v>
      </c>
      <c r="B82" t="s">
        <v>116</v>
      </c>
      <c r="C82" t="s">
        <v>23</v>
      </c>
      <c r="D82" t="s">
        <v>130</v>
      </c>
      <c r="G82">
        <v>90</v>
      </c>
      <c r="H82">
        <v>257</v>
      </c>
      <c r="I82">
        <v>1</v>
      </c>
    </row>
    <row r="83" spans="1:9" x14ac:dyDescent="0.25">
      <c r="A83" t="s">
        <v>118</v>
      </c>
      <c r="B83" t="s">
        <v>120</v>
      </c>
      <c r="C83" t="s">
        <v>146</v>
      </c>
      <c r="D83" t="s">
        <v>119</v>
      </c>
      <c r="G83">
        <v>11</v>
      </c>
      <c r="H83">
        <v>6</v>
      </c>
      <c r="I83">
        <v>591</v>
      </c>
    </row>
    <row r="84" spans="1:9" x14ac:dyDescent="0.25">
      <c r="A84" t="s">
        <v>132</v>
      </c>
      <c r="C84" t="s">
        <v>147</v>
      </c>
      <c r="D84" t="s">
        <v>119</v>
      </c>
      <c r="G84">
        <v>3</v>
      </c>
      <c r="H84">
        <v>21</v>
      </c>
      <c r="I84">
        <v>33</v>
      </c>
    </row>
    <row r="85" spans="1:9" x14ac:dyDescent="0.25">
      <c r="A85" t="s">
        <v>161</v>
      </c>
      <c r="B85" t="s">
        <v>121</v>
      </c>
      <c r="C85" t="s">
        <v>146</v>
      </c>
      <c r="D85" t="s">
        <v>119</v>
      </c>
      <c r="G85">
        <v>29</v>
      </c>
      <c r="H85">
        <v>17</v>
      </c>
      <c r="I85">
        <v>43</v>
      </c>
    </row>
    <row r="86" spans="1:9" x14ac:dyDescent="0.25">
      <c r="A86" t="s">
        <v>167</v>
      </c>
      <c r="B86" t="s">
        <v>122</v>
      </c>
      <c r="C86" t="s">
        <v>145</v>
      </c>
      <c r="D86" t="s">
        <v>119</v>
      </c>
      <c r="G86">
        <v>39</v>
      </c>
      <c r="H86">
        <v>19</v>
      </c>
      <c r="I86">
        <v>5</v>
      </c>
    </row>
    <row r="87" spans="1:9" x14ac:dyDescent="0.25">
      <c r="A87" t="s">
        <v>166</v>
      </c>
      <c r="B87" t="s">
        <v>123</v>
      </c>
      <c r="C87" t="s">
        <v>145</v>
      </c>
      <c r="D87" t="s">
        <v>119</v>
      </c>
      <c r="G87">
        <v>7</v>
      </c>
      <c r="H87">
        <v>4</v>
      </c>
      <c r="I87">
        <v>6</v>
      </c>
    </row>
    <row r="88" spans="1:9" x14ac:dyDescent="0.25">
      <c r="A88" t="s">
        <v>155</v>
      </c>
      <c r="B88" t="s">
        <v>125</v>
      </c>
      <c r="C88" t="s">
        <v>124</v>
      </c>
      <c r="D88" t="s">
        <v>119</v>
      </c>
      <c r="G88">
        <v>117</v>
      </c>
      <c r="H88">
        <v>78</v>
      </c>
      <c r="I88">
        <v>426</v>
      </c>
    </row>
    <row r="89" spans="1:9" x14ac:dyDescent="0.25">
      <c r="A89" t="s">
        <v>127</v>
      </c>
      <c r="B89" t="s">
        <v>127</v>
      </c>
      <c r="C89" t="s">
        <v>128</v>
      </c>
      <c r="D89" t="s">
        <v>130</v>
      </c>
      <c r="G89">
        <v>724</v>
      </c>
      <c r="H89">
        <v>565</v>
      </c>
      <c r="I89">
        <v>1</v>
      </c>
    </row>
    <row r="90" spans="1:9" x14ac:dyDescent="0.25">
      <c r="A90" t="s">
        <v>162</v>
      </c>
      <c r="B90" t="s">
        <v>129</v>
      </c>
      <c r="C90" t="s">
        <v>128</v>
      </c>
      <c r="D90" t="s">
        <v>130</v>
      </c>
      <c r="G90">
        <v>1326</v>
      </c>
      <c r="H90">
        <v>549</v>
      </c>
      <c r="I90">
        <v>10</v>
      </c>
    </row>
    <row r="91" spans="1:9" x14ac:dyDescent="0.25">
      <c r="A91" t="s">
        <v>179</v>
      </c>
      <c r="B91" t="s">
        <v>131</v>
      </c>
      <c r="C91" t="s">
        <v>124</v>
      </c>
      <c r="D91" t="s">
        <v>119</v>
      </c>
      <c r="G91">
        <v>8</v>
      </c>
      <c r="H91">
        <v>8</v>
      </c>
      <c r="I91">
        <v>0</v>
      </c>
    </row>
    <row r="92" spans="1:9" x14ac:dyDescent="0.25">
      <c r="A92" t="s">
        <v>159</v>
      </c>
      <c r="B92" t="s">
        <v>125</v>
      </c>
      <c r="C92" t="s">
        <v>124</v>
      </c>
      <c r="D92" t="s">
        <v>119</v>
      </c>
      <c r="G92">
        <v>7</v>
      </c>
      <c r="H92">
        <v>4</v>
      </c>
      <c r="I92">
        <v>2</v>
      </c>
    </row>
    <row r="93" spans="1:9" x14ac:dyDescent="0.25">
      <c r="A93" t="s">
        <v>177</v>
      </c>
      <c r="B93" t="s">
        <v>178</v>
      </c>
      <c r="C93" t="s">
        <v>133</v>
      </c>
      <c r="D93" t="s">
        <v>130</v>
      </c>
      <c r="H93">
        <v>390</v>
      </c>
      <c r="I93">
        <v>3</v>
      </c>
    </row>
    <row r="94" spans="1:9" x14ac:dyDescent="0.25">
      <c r="A94" t="s">
        <v>182</v>
      </c>
      <c r="B94" t="s">
        <v>151</v>
      </c>
      <c r="C94" t="s">
        <v>148</v>
      </c>
      <c r="D94" t="s">
        <v>119</v>
      </c>
      <c r="G94">
        <v>8</v>
      </c>
      <c r="H94">
        <v>9</v>
      </c>
      <c r="I94">
        <v>71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Faunal Data and Site Used for 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</dc:creator>
  <cp:lastModifiedBy>Connor Ball</cp:lastModifiedBy>
  <dcterms:created xsi:type="dcterms:W3CDTF">2022-12-14T19:52:03Z</dcterms:created>
  <dcterms:modified xsi:type="dcterms:W3CDTF">2025-11-06T07:53:42Z</dcterms:modified>
</cp:coreProperties>
</file>